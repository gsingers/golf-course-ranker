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rantingersoll/projects/golf/golf-course-ranker/"/>
    </mc:Choice>
  </mc:AlternateContent>
  <xr:revisionPtr revIDLastSave="0" documentId="13_ncr:1_{2F5780DA-0671-0749-A477-BFD6E0290CEC}" xr6:coauthVersionLast="47" xr6:coauthVersionMax="47" xr10:uidLastSave="{00000000-0000-0000-0000-000000000000}"/>
  <bookViews>
    <workbookView xWindow="0" yWindow="780" windowWidth="36100" windowHeight="22960" tabRatio="500" xr2:uid="{00000000-000D-0000-FFFF-FFFF00000000}"/>
  </bookViews>
  <sheets>
    <sheet name="Course Ratings" sheetId="1" r:id="rId1"/>
    <sheet name="Rankings Dashboard" sheetId="2" r:id="rId2"/>
    <sheet name="Rating Guide" sheetId="3" r:id="rId3"/>
  </sheets>
  <definedNames>
    <definedName name="_xlnm._FilterDatabase" localSheetId="0" hidden="1">'Course Ratings'!$A$3:$P$123</definedName>
    <definedName name="_xlnm.Print_Titles" localSheetId="0">'Course Ratings'!$3:$3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2" l="1"/>
  <c r="B41" i="2"/>
  <c r="B40" i="2"/>
  <c r="B39" i="2"/>
  <c r="B38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C17" i="2"/>
  <c r="C16" i="2"/>
  <c r="C15" i="2"/>
  <c r="C14" i="2"/>
  <c r="C13" i="2"/>
  <c r="P126" i="1"/>
  <c r="F126" i="1"/>
  <c r="P125" i="1"/>
  <c r="O125" i="1"/>
  <c r="N125" i="1"/>
  <c r="M125" i="1"/>
  <c r="L125" i="1"/>
  <c r="K125" i="1"/>
  <c r="J125" i="1"/>
  <c r="I125" i="1"/>
  <c r="H125" i="1"/>
  <c r="G125" i="1"/>
  <c r="F125" i="1"/>
</calcChain>
</file>

<file path=xl/sharedStrings.xml><?xml version="1.0" encoding="utf-8"?>
<sst xmlns="http://schemas.openxmlformats.org/spreadsheetml/2006/main" count="111" uniqueCount="101">
  <si>
    <t>Golf Course Rating Tracker — Golfweek's Best System</t>
  </si>
  <si>
    <t>Rate each course 1–10 on Golfweek's 10 criteria, then provide your Overall Rating (1–10). Courses are ranked by Overall Rating.</t>
  </si>
  <si>
    <t>#</t>
  </si>
  <si>
    <t>Course Name</t>
  </si>
  <si>
    <t>City</t>
  </si>
  <si>
    <t>State</t>
  </si>
  <si>
    <t>Type</t>
  </si>
  <si>
    <t>Routing</t>
  </si>
  <si>
    <t>Design Integrity / Shaping</t>
  </si>
  <si>
    <t>Overall Land Plan</t>
  </si>
  <si>
    <t>Greens &amp; Surrounds</t>
  </si>
  <si>
    <t>Par 3 Variety &amp; Memorability</t>
  </si>
  <si>
    <t>Par 4 Variety &amp; Memorability</t>
  </si>
  <si>
    <t>Par 5 Variety &amp; Memorability</t>
  </si>
  <si>
    <t>Tree &amp; Landscape Mgmt</t>
  </si>
  <si>
    <t>Conditioning &amp; Ecology</t>
  </si>
  <si>
    <t>Walk in the Park Test</t>
  </si>
  <si>
    <t>Overall Rating (1-10)</t>
  </si>
  <si>
    <t>MD</t>
  </si>
  <si>
    <t>Private</t>
  </si>
  <si>
    <t>FL</t>
  </si>
  <si>
    <t>SC</t>
  </si>
  <si>
    <t>Resort</t>
  </si>
  <si>
    <t>NC</t>
  </si>
  <si>
    <t>Public</t>
  </si>
  <si>
    <t>GA</t>
  </si>
  <si>
    <t>KS</t>
  </si>
  <si>
    <t>CO</t>
  </si>
  <si>
    <t>NE</t>
  </si>
  <si>
    <t>NY</t>
  </si>
  <si>
    <t>MN</t>
  </si>
  <si>
    <t>IN</t>
  </si>
  <si>
    <t>KY</t>
  </si>
  <si>
    <t>WI</t>
  </si>
  <si>
    <t>HI</t>
  </si>
  <si>
    <t>AVERAGES</t>
  </si>
  <si>
    <t>COURSES RATED</t>
  </si>
  <si>
    <t>Rankings Dashboard</t>
  </si>
  <si>
    <t>Top courses sorted by Overall Rating. Tip: Use Excel's Sort &amp; Filter on the Course Ratings sheet to sort by any column.</t>
  </si>
  <si>
    <t>Golfweek Rating Scale Reference</t>
  </si>
  <si>
    <t>8.0 – 10.0</t>
  </si>
  <si>
    <t>Incredible — World-class golf course</t>
  </si>
  <si>
    <t>7.0 – 7.9</t>
  </si>
  <si>
    <t>Excellent — Worth traveling great distances</t>
  </si>
  <si>
    <t>6.0 – 6.9</t>
  </si>
  <si>
    <t>Very Good — Likely the best course in most cities</t>
  </si>
  <si>
    <t>5.0 – 5.9</t>
  </si>
  <si>
    <t>Good — Solid course, enjoyable experience</t>
  </si>
  <si>
    <t>Below 5.0</t>
  </si>
  <si>
    <t>Average to Below Average</t>
  </si>
  <si>
    <t>Quick Stats</t>
  </si>
  <si>
    <t>Total Courses</t>
  </si>
  <si>
    <t>Courses Rated</t>
  </si>
  <si>
    <t>Highest Overall Rating</t>
  </si>
  <si>
    <t>Lowest Overall Rating</t>
  </si>
  <si>
    <t>Average Overall Rating</t>
  </si>
  <si>
    <t>Courses by State</t>
  </si>
  <si>
    <t>Courses by Type</t>
  </si>
  <si>
    <t>Semi-Private</t>
  </si>
  <si>
    <t>Military</t>
  </si>
  <si>
    <t>Golfweek's Best — Rating Criteria Guide</t>
  </si>
  <si>
    <t>Use this guide when evaluating courses. Each criterion is scored 1-10.</t>
  </si>
  <si>
    <t>Criterion</t>
  </si>
  <si>
    <t>What to Evaluate</t>
  </si>
  <si>
    <t>Key Questions</t>
  </si>
  <si>
    <t>How the holes flow from one to the next; variety of direction changes</t>
  </si>
  <si>
    <t>Does the layout feel natural? Is there good variety in hole direction?</t>
  </si>
  <si>
    <t>For classic courses: preservation of original design. For modern: quality of earthwork and shaping</t>
  </si>
  <si>
    <t>Does the design feel authentic? Is the shaping artful or heavy-handed?</t>
  </si>
  <si>
    <t>How well the course fits the natural terrain and landscape</t>
  </si>
  <si>
    <t>Does the course work with the land or fight against it?</t>
  </si>
  <si>
    <t>Quality, contour, and creativity of green complexes and their surrounds</t>
  </si>
  <si>
    <t>Are the greens interesting? Do surrounds offer recovery options?</t>
  </si>
  <si>
    <t>Range of distances, shot shapes, and visual impact of par 3s</t>
  </si>
  <si>
    <t>Can you picture each par 3 after the round? Is there length variety?</t>
  </si>
  <si>
    <t>Mix of short, medium, and long par 4s with different strategies</t>
  </si>
  <si>
    <t>Do the par 4s demand different clubs and approaches off the tee?</t>
  </si>
  <si>
    <t>Risk-reward balance, reachability decisions, and strategic interest</t>
  </si>
  <si>
    <t>Are there meaningful go/no-go decisions? Are they more than long par 4s?</t>
  </si>
  <si>
    <t>How trees, native areas, and landscaping frame holes without being punitive</t>
  </si>
  <si>
    <t>Do trees enhance strategy and aesthetics? Is there good sightline management?</t>
  </si>
  <si>
    <t>Turf quality, firmness, course presentation, and environmental stewardship</t>
  </si>
  <si>
    <t>Are fairways firm and fast? Is the course well-maintained and sustainable?</t>
  </si>
  <si>
    <t>The overall enjoyment of spending 4-5 hours on the property</t>
  </si>
  <si>
    <t>Would you happily walk this course even without clubs? Is the setting special?</t>
  </si>
  <si>
    <t>Rating Scale</t>
  </si>
  <si>
    <t>9-10</t>
  </si>
  <si>
    <t>Exceptional / Masterpiece</t>
  </si>
  <si>
    <t>Among the finest examples in the world</t>
  </si>
  <si>
    <t>7-8</t>
  </si>
  <si>
    <t>Excellent / Outstanding</t>
  </si>
  <si>
    <t>Worth a special trip to experience</t>
  </si>
  <si>
    <t>5-6</t>
  </si>
  <si>
    <t>Very Good / Good</t>
  </si>
  <si>
    <t>Strong in this area, enjoyable</t>
  </si>
  <si>
    <t>3-4</t>
  </si>
  <si>
    <t>Average / Below Average</t>
  </si>
  <si>
    <t>Unremarkable or has notable weaknesses</t>
  </si>
  <si>
    <t>1-2</t>
  </si>
  <si>
    <t>Poor / Weak</t>
  </si>
  <si>
    <t>Significant shortcomings in this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</si>
</sst>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16"/>
      <color rgb="FF1B5E20"/>
      <name val="Arial"/>
      <charset val="1"/>
    </font>
    <font>
      <i/>
      <sz val="10"/>
      <color rgb="FF424242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1B5E20"/>
      <name val="Arial"/>
      <charset val="1"/>
    </font>
    <font>
      <b/>
      <sz val="10"/>
      <color rgb="FF424242"/>
      <name val="Arial"/>
      <charset val="1"/>
    </font>
    <font>
      <b/>
      <sz val="12"/>
      <color rgb="FF1B5E20"/>
      <name val="Arial"/>
      <charset val="1"/>
    </font>
    <font>
      <b/>
      <sz val="10"/>
      <color rgb="FFFFFFFF"/>
      <name val="Arial"/>
      <charset val="1"/>
    </font>
    <font>
      <b/>
      <sz val="12"/>
      <color rgb="FF1565C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5E20"/>
        <bgColor rgb="FF424242"/>
      </patternFill>
    </fill>
    <fill>
      <patternFill patternType="solid">
        <fgColor rgb="FFFFFFFF"/>
        <bgColor rgb="FFF5F5F5"/>
      </patternFill>
    </fill>
    <fill>
      <patternFill patternType="solid">
        <fgColor rgb="FFFFF8E1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4CAF50"/>
        <bgColor rgb="FF8BC34A"/>
      </patternFill>
    </fill>
    <fill>
      <patternFill patternType="solid">
        <fgColor rgb="FF8BC34A"/>
        <bgColor rgb="FF4CAF50"/>
      </patternFill>
    </fill>
    <fill>
      <patternFill patternType="solid">
        <fgColor rgb="FFFFC107"/>
        <bgColor rgb="FFFFD700"/>
      </patternFill>
    </fill>
    <fill>
      <patternFill patternType="solid">
        <fgColor rgb="FFFF9800"/>
        <bgColor rgb="FFFFC107"/>
      </patternFill>
    </fill>
    <fill>
      <patternFill patternType="solid">
        <fgColor rgb="FFF44336"/>
        <bgColor rgb="FFFF8080"/>
      </patternFill>
    </fill>
    <fill>
      <patternFill patternType="solid">
        <fgColor rgb="FF1565C0"/>
        <bgColor rgb="FF3366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0" fillId="0" borderId="0" xfId="0" applyFont="1"/>
    <xf numFmtId="0" fontId="4" fillId="0" borderId="0" xfId="0" applyFont="1"/>
    <xf numFmtId="0" fontId="8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2" fontId="6" fillId="6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4" fillId="0" borderId="0" xfId="0" applyFont="1"/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C107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1565C0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BC34A"/>
      <rgbColor rgb="FFFFD700"/>
      <rgbColor rgb="FFFF9800"/>
      <rgbColor rgb="FFF44336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A1:P12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2" sqref="B12"/>
    </sheetView>
  </sheetViews>
  <sheetFormatPr baseColWidth="10" defaultColWidth="8.6640625" defaultRowHeight="15" x14ac:dyDescent="0.2"/>
  <cols>
    <col min="1" max="1" width="5" customWidth="1"/>
    <col min="2" max="2" width="38" customWidth="1"/>
    <col min="3" max="3" width="22" customWidth="1"/>
    <col min="4" max="4" width="7" customWidth="1"/>
    <col min="5" max="5" width="10" customWidth="1"/>
    <col min="6" max="15" width="14" customWidth="1"/>
    <col min="16" max="16" width="18" customWidth="1"/>
  </cols>
  <sheetData>
    <row r="1" spans="1:16" ht="36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9.5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9.75" customHeight="1" x14ac:dyDescent="0.2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</row>
    <row r="4" spans="1:16" x14ac:dyDescent="0.2">
      <c r="A4" s="8">
        <v>1</v>
      </c>
      <c r="B4" s="9"/>
      <c r="C4" s="10"/>
      <c r="D4" s="8"/>
      <c r="E4" s="8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6" x14ac:dyDescent="0.2">
      <c r="A5" s="13">
        <v>2</v>
      </c>
      <c r="B5" s="14"/>
      <c r="C5" s="15"/>
      <c r="D5" s="13"/>
      <c r="E5" s="13"/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1:16" x14ac:dyDescent="0.2">
      <c r="A6" s="8">
        <v>3</v>
      </c>
      <c r="B6" s="9"/>
      <c r="C6" s="10"/>
      <c r="D6" s="8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1:16" x14ac:dyDescent="0.2">
      <c r="A7" s="13">
        <v>4</v>
      </c>
      <c r="B7" s="14"/>
      <c r="C7" s="15"/>
      <c r="D7" s="13"/>
      <c r="E7" s="13"/>
      <c r="F7" s="16"/>
      <c r="G7" s="16"/>
      <c r="H7" s="16"/>
      <c r="I7" s="16"/>
      <c r="J7" s="16"/>
      <c r="K7" s="16"/>
      <c r="L7" s="16"/>
      <c r="M7" s="16"/>
      <c r="N7" s="16"/>
      <c r="O7" s="16"/>
      <c r="P7" s="12"/>
    </row>
    <row r="8" spans="1:16" x14ac:dyDescent="0.2">
      <c r="A8" s="8">
        <v>5</v>
      </c>
      <c r="B8" s="9"/>
      <c r="C8" s="10"/>
      <c r="D8" s="8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1:16" x14ac:dyDescent="0.2">
      <c r="A9" s="13">
        <v>6</v>
      </c>
      <c r="B9" s="14"/>
      <c r="C9" s="15"/>
      <c r="D9" s="13"/>
      <c r="E9" s="13"/>
      <c r="F9" s="16"/>
      <c r="G9" s="16"/>
      <c r="H9" s="16"/>
      <c r="I9" s="16"/>
      <c r="J9" s="16"/>
      <c r="K9" s="16"/>
      <c r="L9" s="16"/>
      <c r="M9" s="16"/>
      <c r="N9" s="16"/>
      <c r="O9" s="16"/>
      <c r="P9" s="12"/>
    </row>
    <row r="10" spans="1:16" x14ac:dyDescent="0.2">
      <c r="A10" s="8">
        <v>7</v>
      </c>
      <c r="B10" s="9"/>
      <c r="C10" s="10"/>
      <c r="D10" s="8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1:16" x14ac:dyDescent="0.2">
      <c r="A11" s="13">
        <v>8</v>
      </c>
      <c r="B11" s="14"/>
      <c r="C11" s="15"/>
      <c r="D11" s="13"/>
      <c r="E11" s="13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2"/>
    </row>
    <row r="12" spans="1:16" x14ac:dyDescent="0.2">
      <c r="A12" s="8">
        <v>9</v>
      </c>
      <c r="B12" s="9"/>
      <c r="C12" s="10"/>
      <c r="D12" s="8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1:16" x14ac:dyDescent="0.2">
      <c r="A13" s="13">
        <v>10</v>
      </c>
      <c r="B13" s="14"/>
      <c r="C13" s="15"/>
      <c r="D13" s="13"/>
      <c r="E13" s="13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2"/>
    </row>
    <row r="14" spans="1:16" x14ac:dyDescent="0.2">
      <c r="A14" s="8">
        <v>11</v>
      </c>
      <c r="B14" s="9"/>
      <c r="C14" s="10"/>
      <c r="D14" s="8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pans="1:16" x14ac:dyDescent="0.2">
      <c r="A15" s="13">
        <v>12</v>
      </c>
      <c r="B15" s="14"/>
      <c r="C15" s="15"/>
      <c r="D15" s="13"/>
      <c r="E15" s="13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2"/>
    </row>
    <row r="16" spans="1:16" x14ac:dyDescent="0.2">
      <c r="A16" s="8">
        <v>13</v>
      </c>
      <c r="B16" s="9"/>
      <c r="C16" s="10"/>
      <c r="D16" s="8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spans="1:16" x14ac:dyDescent="0.2">
      <c r="A17" s="13">
        <v>14</v>
      </c>
      <c r="B17" s="14"/>
      <c r="C17" s="15"/>
      <c r="D17" s="13"/>
      <c r="E17" s="13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2"/>
    </row>
    <row r="18" spans="1:16" x14ac:dyDescent="0.2">
      <c r="A18" s="8">
        <v>15</v>
      </c>
      <c r="B18" s="9"/>
      <c r="C18" s="10"/>
      <c r="D18" s="8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1:16" x14ac:dyDescent="0.2">
      <c r="A19" s="13">
        <v>16</v>
      </c>
      <c r="B19" s="14"/>
      <c r="C19" s="15"/>
      <c r="D19" s="13"/>
      <c r="E19" s="13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2"/>
    </row>
    <row r="20" spans="1:16" x14ac:dyDescent="0.2">
      <c r="A20" s="8">
        <v>17</v>
      </c>
      <c r="B20" s="9"/>
      <c r="C20" s="10"/>
      <c r="D20" s="8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1:16" x14ac:dyDescent="0.2">
      <c r="A21" s="13">
        <v>18</v>
      </c>
      <c r="B21" s="14"/>
      <c r="C21" s="15"/>
      <c r="D21" s="13"/>
      <c r="E21" s="13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2"/>
    </row>
    <row r="22" spans="1:16" x14ac:dyDescent="0.2">
      <c r="A22" s="8">
        <v>19</v>
      </c>
      <c r="B22" s="9"/>
      <c r="C22" s="10"/>
      <c r="D22" s="8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</row>
    <row r="23" spans="1:16" x14ac:dyDescent="0.2">
      <c r="A23" s="13">
        <v>20</v>
      </c>
      <c r="B23" s="14"/>
      <c r="C23" s="15"/>
      <c r="D23" s="13"/>
      <c r="E23" s="13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2"/>
    </row>
    <row r="24" spans="1:16" x14ac:dyDescent="0.2">
      <c r="A24" s="8">
        <v>21</v>
      </c>
      <c r="B24" s="9"/>
      <c r="C24" s="10"/>
      <c r="D24" s="8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</row>
    <row r="25" spans="1:16" x14ac:dyDescent="0.2">
      <c r="A25" s="13">
        <v>22</v>
      </c>
      <c r="B25" s="14"/>
      <c r="C25" s="15"/>
      <c r="D25" s="13"/>
      <c r="E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2"/>
    </row>
    <row r="26" spans="1:16" x14ac:dyDescent="0.2">
      <c r="A26" s="8">
        <v>23</v>
      </c>
      <c r="B26" s="9"/>
      <c r="C26" s="10"/>
      <c r="D26" s="8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</row>
    <row r="27" spans="1:16" x14ac:dyDescent="0.2">
      <c r="A27" s="13">
        <v>24</v>
      </c>
      <c r="B27" s="14"/>
      <c r="C27" s="15"/>
      <c r="D27" s="13"/>
      <c r="E27" s="13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2"/>
    </row>
    <row r="28" spans="1:16" x14ac:dyDescent="0.2">
      <c r="A28" s="8">
        <v>25</v>
      </c>
      <c r="B28" s="9"/>
      <c r="C28" s="10"/>
      <c r="D28" s="8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</row>
    <row r="29" spans="1:16" x14ac:dyDescent="0.2">
      <c r="A29" s="13">
        <v>26</v>
      </c>
      <c r="B29" s="14"/>
      <c r="C29" s="15"/>
      <c r="D29" s="13"/>
      <c r="E29" s="1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2"/>
    </row>
    <row r="30" spans="1:16" x14ac:dyDescent="0.2">
      <c r="A30" s="8">
        <v>27</v>
      </c>
      <c r="B30" s="9"/>
      <c r="C30" s="10"/>
      <c r="D30" s="8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</row>
    <row r="31" spans="1:16" x14ac:dyDescent="0.2">
      <c r="A31" s="13">
        <v>28</v>
      </c>
      <c r="B31" s="14"/>
      <c r="C31" s="15"/>
      <c r="D31" s="13"/>
      <c r="E31" s="1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2"/>
    </row>
    <row r="32" spans="1:16" x14ac:dyDescent="0.2">
      <c r="A32" s="8">
        <v>29</v>
      </c>
      <c r="B32" s="9"/>
      <c r="C32" s="10"/>
      <c r="D32" s="8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</row>
    <row r="33" spans="1:16" x14ac:dyDescent="0.2">
      <c r="A33" s="13">
        <v>30</v>
      </c>
      <c r="B33" s="14"/>
      <c r="C33" s="15"/>
      <c r="D33" s="13"/>
      <c r="E33" s="1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2"/>
    </row>
    <row r="34" spans="1:16" x14ac:dyDescent="0.2">
      <c r="A34" s="8">
        <v>31</v>
      </c>
      <c r="B34" s="9"/>
      <c r="C34" s="10"/>
      <c r="D34" s="8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2"/>
    </row>
    <row r="35" spans="1:16" x14ac:dyDescent="0.2">
      <c r="A35" s="13">
        <v>32</v>
      </c>
      <c r="B35" s="14"/>
      <c r="C35" s="15"/>
      <c r="D35" s="13"/>
      <c r="E35" s="1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</row>
    <row r="36" spans="1:16" x14ac:dyDescent="0.2">
      <c r="A36" s="8">
        <v>33</v>
      </c>
      <c r="B36" s="9"/>
      <c r="C36" s="10"/>
      <c r="D36" s="8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</row>
    <row r="37" spans="1:16" x14ac:dyDescent="0.2">
      <c r="A37" s="13">
        <v>34</v>
      </c>
      <c r="B37" s="14"/>
      <c r="C37" s="15"/>
      <c r="D37" s="13"/>
      <c r="E37" s="13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2"/>
    </row>
    <row r="38" spans="1:16" x14ac:dyDescent="0.2">
      <c r="A38" s="8">
        <v>35</v>
      </c>
      <c r="B38" s="9"/>
      <c r="C38" s="10"/>
      <c r="D38" s="8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</row>
    <row r="39" spans="1:16" x14ac:dyDescent="0.2">
      <c r="A39" s="13">
        <v>36</v>
      </c>
      <c r="B39" s="14"/>
      <c r="C39" s="15"/>
      <c r="D39" s="13"/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2"/>
    </row>
    <row r="40" spans="1:16" x14ac:dyDescent="0.2">
      <c r="A40" s="8">
        <v>37</v>
      </c>
      <c r="B40" s="9"/>
      <c r="C40" s="10"/>
      <c r="D40" s="8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</row>
    <row r="41" spans="1:16" x14ac:dyDescent="0.2">
      <c r="A41" s="13">
        <v>38</v>
      </c>
      <c r="B41" s="14"/>
      <c r="C41" s="15"/>
      <c r="D41" s="13"/>
      <c r="E41" s="13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2"/>
    </row>
    <row r="42" spans="1:16" x14ac:dyDescent="0.2">
      <c r="A42" s="8">
        <v>39</v>
      </c>
      <c r="B42" s="9"/>
      <c r="C42" s="10"/>
      <c r="D42" s="8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2"/>
    </row>
    <row r="43" spans="1:16" x14ac:dyDescent="0.2">
      <c r="A43" s="13">
        <v>40</v>
      </c>
      <c r="B43" s="14"/>
      <c r="C43" s="15"/>
      <c r="D43" s="13"/>
      <c r="E43" s="13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2"/>
    </row>
    <row r="44" spans="1:16" x14ac:dyDescent="0.2">
      <c r="A44" s="8">
        <v>41</v>
      </c>
      <c r="B44" s="9"/>
      <c r="C44" s="10"/>
      <c r="D44" s="8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2"/>
    </row>
    <row r="45" spans="1:16" x14ac:dyDescent="0.2">
      <c r="A45" s="13">
        <v>42</v>
      </c>
      <c r="B45" s="14"/>
      <c r="C45" s="15"/>
      <c r="D45" s="13"/>
      <c r="E45" s="1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2"/>
    </row>
    <row r="46" spans="1:16" x14ac:dyDescent="0.2">
      <c r="A46" s="8">
        <v>43</v>
      </c>
      <c r="B46" s="9"/>
      <c r="C46" s="10"/>
      <c r="D46" s="8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</row>
    <row r="47" spans="1:16" x14ac:dyDescent="0.2">
      <c r="A47" s="13">
        <v>44</v>
      </c>
      <c r="B47" s="14"/>
      <c r="C47" s="15"/>
      <c r="D47" s="13"/>
      <c r="E47" s="13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2"/>
    </row>
    <row r="48" spans="1:16" x14ac:dyDescent="0.2">
      <c r="A48" s="8">
        <v>45</v>
      </c>
      <c r="B48" s="9"/>
      <c r="C48" s="10"/>
      <c r="D48" s="8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2"/>
    </row>
    <row r="49" spans="1:16" x14ac:dyDescent="0.2">
      <c r="A49" s="13">
        <v>46</v>
      </c>
      <c r="B49" s="14"/>
      <c r="C49" s="15"/>
      <c r="D49" s="13"/>
      <c r="E49" s="13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2"/>
    </row>
    <row r="50" spans="1:16" x14ac:dyDescent="0.2">
      <c r="A50" s="8">
        <v>47</v>
      </c>
      <c r="B50" s="9"/>
      <c r="C50" s="10"/>
      <c r="D50" s="8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2"/>
    </row>
    <row r="51" spans="1:16" x14ac:dyDescent="0.2">
      <c r="A51" s="13">
        <v>48</v>
      </c>
      <c r="B51" s="14"/>
      <c r="C51" s="15"/>
      <c r="D51" s="13"/>
      <c r="E51" s="13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2"/>
    </row>
    <row r="52" spans="1:16" x14ac:dyDescent="0.2">
      <c r="A52" s="8">
        <v>49</v>
      </c>
      <c r="B52" s="9"/>
      <c r="C52" s="10"/>
      <c r="D52" s="8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2"/>
    </row>
    <row r="53" spans="1:16" x14ac:dyDescent="0.2">
      <c r="A53" s="13">
        <v>50</v>
      </c>
      <c r="B53" s="14"/>
      <c r="C53" s="15"/>
      <c r="D53" s="13"/>
      <c r="E53" s="13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2"/>
    </row>
    <row r="54" spans="1:16" x14ac:dyDescent="0.2">
      <c r="A54" s="8">
        <v>51</v>
      </c>
      <c r="B54" s="9"/>
      <c r="C54" s="10"/>
      <c r="D54" s="8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2"/>
    </row>
    <row r="55" spans="1:16" x14ac:dyDescent="0.2">
      <c r="A55" s="13">
        <v>52</v>
      </c>
      <c r="B55" s="14"/>
      <c r="C55" s="15"/>
      <c r="D55" s="13"/>
      <c r="E55" s="13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2"/>
    </row>
    <row r="56" spans="1:16" x14ac:dyDescent="0.2">
      <c r="A56" s="8">
        <v>53</v>
      </c>
      <c r="B56" s="9"/>
      <c r="C56" s="10"/>
      <c r="D56" s="8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/>
    </row>
    <row r="57" spans="1:16" x14ac:dyDescent="0.2">
      <c r="A57" s="13">
        <v>54</v>
      </c>
      <c r="B57" s="14"/>
      <c r="C57" s="15"/>
      <c r="D57" s="13"/>
      <c r="E57" s="13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2"/>
    </row>
    <row r="58" spans="1:16" x14ac:dyDescent="0.2">
      <c r="A58" s="8">
        <v>55</v>
      </c>
      <c r="B58" s="9"/>
      <c r="C58" s="10"/>
      <c r="D58" s="8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2"/>
    </row>
    <row r="59" spans="1:16" x14ac:dyDescent="0.2">
      <c r="A59" s="13">
        <v>56</v>
      </c>
      <c r="B59" s="14"/>
      <c r="C59" s="15"/>
      <c r="D59" s="13"/>
      <c r="E59" s="13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2"/>
    </row>
    <row r="60" spans="1:16" x14ac:dyDescent="0.2">
      <c r="A60" s="8">
        <v>57</v>
      </c>
      <c r="B60" s="9"/>
      <c r="C60" s="10"/>
      <c r="D60" s="8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2"/>
    </row>
    <row r="61" spans="1:16" x14ac:dyDescent="0.2">
      <c r="A61" s="13">
        <v>58</v>
      </c>
      <c r="B61" s="14"/>
      <c r="C61" s="15"/>
      <c r="D61" s="13"/>
      <c r="E61" s="13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2"/>
    </row>
    <row r="62" spans="1:16" x14ac:dyDescent="0.2">
      <c r="A62" s="8">
        <v>59</v>
      </c>
      <c r="B62" s="9"/>
      <c r="C62" s="10"/>
      <c r="D62" s="8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2"/>
    </row>
    <row r="63" spans="1:16" x14ac:dyDescent="0.2">
      <c r="A63" s="13">
        <v>60</v>
      </c>
      <c r="B63" s="14"/>
      <c r="C63" s="15"/>
      <c r="D63" s="13"/>
      <c r="E63" s="13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2"/>
    </row>
    <row r="64" spans="1:16" x14ac:dyDescent="0.2">
      <c r="A64" s="8">
        <v>61</v>
      </c>
      <c r="B64" s="9"/>
      <c r="C64" s="10"/>
      <c r="D64" s="8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2"/>
    </row>
    <row r="65" spans="1:16" x14ac:dyDescent="0.2">
      <c r="A65" s="13">
        <v>62</v>
      </c>
      <c r="B65" s="14"/>
      <c r="C65" s="15"/>
      <c r="D65" s="13"/>
      <c r="E65" s="13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2"/>
    </row>
    <row r="66" spans="1:16" x14ac:dyDescent="0.2">
      <c r="A66" s="8">
        <v>63</v>
      </c>
      <c r="B66" s="9"/>
      <c r="C66" s="10"/>
      <c r="D66" s="8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2"/>
    </row>
    <row r="67" spans="1:16" x14ac:dyDescent="0.2">
      <c r="A67" s="13">
        <v>64</v>
      </c>
      <c r="B67" s="14"/>
      <c r="C67" s="15"/>
      <c r="D67" s="13"/>
      <c r="E67" s="13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2"/>
    </row>
    <row r="68" spans="1:16" x14ac:dyDescent="0.2">
      <c r="A68" s="8">
        <v>65</v>
      </c>
      <c r="B68" s="9"/>
      <c r="C68" s="10"/>
      <c r="D68" s="8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2"/>
    </row>
    <row r="69" spans="1:16" x14ac:dyDescent="0.2">
      <c r="A69" s="13">
        <v>66</v>
      </c>
      <c r="B69" s="14"/>
      <c r="C69" s="15"/>
      <c r="D69" s="13"/>
      <c r="E69" s="13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2"/>
    </row>
    <row r="70" spans="1:16" x14ac:dyDescent="0.2">
      <c r="A70" s="8">
        <v>67</v>
      </c>
      <c r="B70" s="9"/>
      <c r="C70" s="10"/>
      <c r="D70" s="8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2"/>
    </row>
    <row r="71" spans="1:16" x14ac:dyDescent="0.2">
      <c r="A71" s="13">
        <v>68</v>
      </c>
      <c r="B71" s="14"/>
      <c r="C71" s="15"/>
      <c r="D71" s="13"/>
      <c r="E71" s="13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2"/>
    </row>
    <row r="72" spans="1:16" x14ac:dyDescent="0.2">
      <c r="A72" s="8">
        <v>69</v>
      </c>
      <c r="B72" s="9"/>
      <c r="C72" s="10"/>
      <c r="D72" s="8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2"/>
    </row>
    <row r="73" spans="1:16" x14ac:dyDescent="0.2">
      <c r="A73" s="13">
        <v>70</v>
      </c>
      <c r="B73" s="14"/>
      <c r="C73" s="15"/>
      <c r="D73" s="13"/>
      <c r="E73" s="13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2"/>
    </row>
    <row r="74" spans="1:16" x14ac:dyDescent="0.2">
      <c r="A74" s="8">
        <v>71</v>
      </c>
      <c r="B74" s="9"/>
      <c r="C74" s="10"/>
      <c r="D74" s="8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2"/>
    </row>
    <row r="75" spans="1:16" x14ac:dyDescent="0.2">
      <c r="A75" s="13">
        <v>72</v>
      </c>
      <c r="B75" s="14"/>
      <c r="C75" s="15"/>
      <c r="D75" s="13"/>
      <c r="E75" s="13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2"/>
    </row>
    <row r="76" spans="1:16" x14ac:dyDescent="0.2">
      <c r="A76" s="8">
        <v>73</v>
      </c>
      <c r="B76" s="9"/>
      <c r="C76" s="10"/>
      <c r="D76" s="8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2"/>
    </row>
    <row r="77" spans="1:16" x14ac:dyDescent="0.2">
      <c r="A77" s="13">
        <v>74</v>
      </c>
      <c r="B77" s="14"/>
      <c r="C77" s="15"/>
      <c r="D77" s="13"/>
      <c r="E77" s="13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2"/>
    </row>
    <row r="78" spans="1:16" x14ac:dyDescent="0.2">
      <c r="A78" s="8">
        <v>75</v>
      </c>
      <c r="B78" s="9"/>
      <c r="C78" s="10"/>
      <c r="D78" s="8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2"/>
    </row>
    <row r="79" spans="1:16" x14ac:dyDescent="0.2">
      <c r="A79" s="13">
        <v>76</v>
      </c>
      <c r="B79" s="14"/>
      <c r="C79" s="15"/>
      <c r="D79" s="13"/>
      <c r="E79" s="13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2"/>
    </row>
    <row r="80" spans="1:16" x14ac:dyDescent="0.2">
      <c r="A80" s="8">
        <v>77</v>
      </c>
      <c r="B80" s="9"/>
      <c r="C80" s="10"/>
      <c r="D80" s="8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2"/>
    </row>
    <row r="81" spans="1:16" x14ac:dyDescent="0.2">
      <c r="A81" s="13">
        <v>78</v>
      </c>
      <c r="B81" s="14"/>
      <c r="C81" s="15"/>
      <c r="D81" s="13"/>
      <c r="E81" s="13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2"/>
    </row>
    <row r="82" spans="1:16" x14ac:dyDescent="0.2">
      <c r="A82" s="8">
        <v>79</v>
      </c>
      <c r="B82" s="9"/>
      <c r="C82" s="10"/>
      <c r="D82" s="8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2"/>
    </row>
    <row r="83" spans="1:16" x14ac:dyDescent="0.2">
      <c r="A83" s="13">
        <v>80</v>
      </c>
      <c r="B83" s="14"/>
      <c r="C83" s="15"/>
      <c r="D83" s="13"/>
      <c r="E83" s="13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2"/>
    </row>
    <row r="84" spans="1:16" x14ac:dyDescent="0.2">
      <c r="A84" s="8">
        <v>81</v>
      </c>
      <c r="B84" s="9"/>
      <c r="C84" s="10"/>
      <c r="D84" s="8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2"/>
    </row>
    <row r="85" spans="1:16" x14ac:dyDescent="0.2">
      <c r="A85" s="13">
        <v>82</v>
      </c>
      <c r="B85" s="14"/>
      <c r="C85" s="15"/>
      <c r="D85" s="13"/>
      <c r="E85" s="13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2"/>
    </row>
    <row r="86" spans="1:16" x14ac:dyDescent="0.2">
      <c r="A86" s="8">
        <v>83</v>
      </c>
      <c r="B86" s="9"/>
      <c r="C86" s="10"/>
      <c r="D86" s="8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2"/>
    </row>
    <row r="87" spans="1:16" x14ac:dyDescent="0.2">
      <c r="A87" s="13">
        <v>84</v>
      </c>
      <c r="B87" s="14"/>
      <c r="C87" s="15"/>
      <c r="D87" s="13"/>
      <c r="E87" s="13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2"/>
    </row>
    <row r="88" spans="1:16" x14ac:dyDescent="0.2">
      <c r="A88" s="8">
        <v>85</v>
      </c>
      <c r="B88" s="9"/>
      <c r="C88" s="10"/>
      <c r="D88" s="8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2"/>
    </row>
    <row r="89" spans="1:16" x14ac:dyDescent="0.2">
      <c r="A89" s="13">
        <v>86</v>
      </c>
      <c r="B89" s="14"/>
      <c r="C89" s="15"/>
      <c r="D89" s="13"/>
      <c r="E89" s="13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2"/>
    </row>
    <row r="90" spans="1:16" x14ac:dyDescent="0.2">
      <c r="A90" s="8">
        <v>87</v>
      </c>
      <c r="B90" s="9"/>
      <c r="C90" s="10"/>
      <c r="D90" s="8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2"/>
    </row>
    <row r="91" spans="1:16" x14ac:dyDescent="0.2">
      <c r="A91" s="13">
        <v>88</v>
      </c>
      <c r="B91" s="14"/>
      <c r="C91" s="15"/>
      <c r="D91" s="13"/>
      <c r="E91" s="13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2"/>
    </row>
    <row r="92" spans="1:16" x14ac:dyDescent="0.2">
      <c r="A92" s="8">
        <v>89</v>
      </c>
      <c r="B92" s="9"/>
      <c r="C92" s="10"/>
      <c r="D92" s="8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2"/>
    </row>
    <row r="93" spans="1:16" x14ac:dyDescent="0.2">
      <c r="A93" s="13">
        <v>90</v>
      </c>
      <c r="B93" s="14"/>
      <c r="C93" s="15"/>
      <c r="D93" s="13"/>
      <c r="E93" s="13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2"/>
    </row>
    <row r="94" spans="1:16" x14ac:dyDescent="0.2">
      <c r="A94" s="8">
        <v>91</v>
      </c>
      <c r="B94" s="9"/>
      <c r="C94" s="10"/>
      <c r="D94" s="8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2"/>
    </row>
    <row r="95" spans="1:16" x14ac:dyDescent="0.2">
      <c r="A95" s="13">
        <v>92</v>
      </c>
      <c r="B95" s="14"/>
      <c r="C95" s="15"/>
      <c r="D95" s="13"/>
      <c r="E95" s="13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2"/>
    </row>
    <row r="96" spans="1:16" x14ac:dyDescent="0.2">
      <c r="A96" s="8">
        <v>93</v>
      </c>
      <c r="B96" s="9"/>
      <c r="C96" s="10"/>
      <c r="D96" s="8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2"/>
    </row>
    <row r="97" spans="1:16" x14ac:dyDescent="0.2">
      <c r="A97" s="13">
        <v>94</v>
      </c>
      <c r="B97" s="14"/>
      <c r="C97" s="15"/>
      <c r="D97" s="13"/>
      <c r="E97" s="13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2"/>
    </row>
    <row r="98" spans="1:16" x14ac:dyDescent="0.2">
      <c r="A98" s="8">
        <v>95</v>
      </c>
      <c r="B98" s="9"/>
      <c r="C98" s="10"/>
      <c r="D98" s="8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2"/>
    </row>
    <row r="99" spans="1:16" x14ac:dyDescent="0.2">
      <c r="A99" s="13">
        <v>96</v>
      </c>
      <c r="B99" s="14"/>
      <c r="C99" s="15"/>
      <c r="D99" s="13"/>
      <c r="E99" s="13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2"/>
    </row>
    <row r="100" spans="1:16" x14ac:dyDescent="0.2">
      <c r="A100" s="8">
        <v>97</v>
      </c>
      <c r="B100" s="9"/>
      <c r="C100" s="10"/>
      <c r="D100" s="8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2"/>
    </row>
    <row r="101" spans="1:16" x14ac:dyDescent="0.2">
      <c r="A101" s="13">
        <v>98</v>
      </c>
      <c r="B101" s="14"/>
      <c r="C101" s="15"/>
      <c r="D101" s="13"/>
      <c r="E101" s="13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2"/>
    </row>
    <row r="102" spans="1:16" x14ac:dyDescent="0.2">
      <c r="A102" s="8">
        <v>99</v>
      </c>
      <c r="B102" s="9"/>
      <c r="C102" s="10"/>
      <c r="D102" s="8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2"/>
    </row>
    <row r="103" spans="1:16" x14ac:dyDescent="0.2">
      <c r="A103" s="13">
        <v>100</v>
      </c>
      <c r="B103" s="14"/>
      <c r="C103" s="15"/>
      <c r="D103" s="13"/>
      <c r="E103" s="13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2"/>
    </row>
    <row r="104" spans="1:16" x14ac:dyDescent="0.2">
      <c r="A104" s="8">
        <v>101</v>
      </c>
      <c r="B104" s="9"/>
      <c r="C104" s="10"/>
      <c r="D104" s="8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2"/>
    </row>
    <row r="105" spans="1:16" x14ac:dyDescent="0.2">
      <c r="A105" s="13">
        <v>102</v>
      </c>
      <c r="B105" s="14"/>
      <c r="C105" s="15"/>
      <c r="D105" s="13"/>
      <c r="E105" s="13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2"/>
    </row>
    <row r="106" spans="1:16" x14ac:dyDescent="0.2">
      <c r="A106" s="8">
        <v>103</v>
      </c>
      <c r="B106" s="9"/>
      <c r="C106" s="10"/>
      <c r="D106" s="8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2"/>
    </row>
    <row r="107" spans="1:16" x14ac:dyDescent="0.2">
      <c r="A107" s="13">
        <v>104</v>
      </c>
      <c r="B107" s="14"/>
      <c r="C107" s="15"/>
      <c r="D107" s="13"/>
      <c r="E107" s="13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2"/>
    </row>
    <row r="108" spans="1:16" x14ac:dyDescent="0.2">
      <c r="A108" s="8">
        <v>105</v>
      </c>
      <c r="B108" s="9"/>
      <c r="C108" s="10"/>
      <c r="D108" s="8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2"/>
    </row>
    <row r="109" spans="1:16" x14ac:dyDescent="0.2">
      <c r="A109" s="13">
        <v>106</v>
      </c>
      <c r="B109" s="14"/>
      <c r="C109" s="15"/>
      <c r="D109" s="13"/>
      <c r="E109" s="13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2"/>
    </row>
    <row r="110" spans="1:16" x14ac:dyDescent="0.2">
      <c r="A110" s="8">
        <v>107</v>
      </c>
      <c r="B110" s="9"/>
      <c r="C110" s="10"/>
      <c r="D110" s="8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2"/>
    </row>
    <row r="111" spans="1:16" x14ac:dyDescent="0.2">
      <c r="A111" s="13">
        <v>108</v>
      </c>
      <c r="B111" s="14"/>
      <c r="C111" s="15"/>
      <c r="D111" s="13"/>
      <c r="E111" s="13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2"/>
    </row>
    <row r="112" spans="1:16" x14ac:dyDescent="0.2">
      <c r="A112" s="8">
        <v>109</v>
      </c>
      <c r="B112" s="9"/>
      <c r="C112" s="10"/>
      <c r="D112" s="8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2"/>
    </row>
    <row r="113" spans="1:16" x14ac:dyDescent="0.2">
      <c r="A113" s="13">
        <v>110</v>
      </c>
      <c r="B113" s="14"/>
      <c r="C113" s="15"/>
      <c r="D113" s="13"/>
      <c r="E113" s="13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2"/>
    </row>
    <row r="114" spans="1:16" x14ac:dyDescent="0.2">
      <c r="A114" s="8">
        <v>111</v>
      </c>
      <c r="B114" s="9"/>
      <c r="C114" s="10"/>
      <c r="D114" s="8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2"/>
    </row>
    <row r="115" spans="1:16" x14ac:dyDescent="0.2">
      <c r="A115" s="13">
        <v>112</v>
      </c>
      <c r="B115" s="14"/>
      <c r="C115" s="15"/>
      <c r="D115" s="13"/>
      <c r="E115" s="13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2"/>
    </row>
    <row r="116" spans="1:16" x14ac:dyDescent="0.2">
      <c r="A116" s="8">
        <v>113</v>
      </c>
      <c r="B116" s="9"/>
      <c r="C116" s="10"/>
      <c r="D116" s="8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2"/>
    </row>
    <row r="117" spans="1:16" x14ac:dyDescent="0.2">
      <c r="A117" s="13">
        <v>114</v>
      </c>
      <c r="B117" s="14"/>
      <c r="C117" s="15"/>
      <c r="D117" s="13"/>
      <c r="E117" s="13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2"/>
    </row>
    <row r="118" spans="1:16" x14ac:dyDescent="0.2">
      <c r="A118" s="8">
        <v>115</v>
      </c>
      <c r="B118" s="9"/>
      <c r="C118" s="10"/>
      <c r="D118" s="8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2"/>
    </row>
    <row r="119" spans="1:16" x14ac:dyDescent="0.2">
      <c r="A119" s="13">
        <v>116</v>
      </c>
      <c r="B119" s="14"/>
      <c r="C119" s="15"/>
      <c r="D119" s="13"/>
      <c r="E119" s="13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2"/>
    </row>
    <row r="120" spans="1:16" x14ac:dyDescent="0.2">
      <c r="A120" s="8">
        <v>117</v>
      </c>
      <c r="B120" s="9"/>
      <c r="C120" s="10"/>
      <c r="D120" s="8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2"/>
    </row>
    <row r="121" spans="1:16" x14ac:dyDescent="0.2">
      <c r="A121" s="13">
        <v>118</v>
      </c>
      <c r="B121" s="14"/>
      <c r="C121" s="15"/>
      <c r="D121" s="13"/>
      <c r="E121" s="13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2"/>
    </row>
    <row r="122" spans="1:16" x14ac:dyDescent="0.2">
      <c r="A122" s="8">
        <v>119</v>
      </c>
      <c r="B122" s="9"/>
      <c r="C122" s="10"/>
      <c r="D122" s="8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2"/>
    </row>
    <row r="123" spans="1:16" x14ac:dyDescent="0.2">
      <c r="A123" s="13">
        <v>120</v>
      </c>
      <c r="B123" s="14"/>
      <c r="C123" s="15"/>
      <c r="D123" s="13"/>
      <c r="E123" s="13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2"/>
    </row>
    <row r="125" spans="1:16" x14ac:dyDescent="0.2">
      <c r="B125" s="17" t="s">
        <v>35</v>
      </c>
      <c r="F125" s="18" t="str">
        <f t="shared" ref="F125:P125" si="0">IF(COUNT(F4:F123)&gt;0,AVERAGE(F4:F123),"")</f>
        <v/>
      </c>
      <c r="G125" s="18" t="str">
        <f t="shared" si="0"/>
        <v/>
      </c>
      <c r="H125" s="18" t="str">
        <f t="shared" si="0"/>
        <v/>
      </c>
      <c r="I125" s="18" t="str">
        <f t="shared" si="0"/>
        <v/>
      </c>
      <c r="J125" s="18" t="str">
        <f t="shared" si="0"/>
        <v/>
      </c>
      <c r="K125" s="18" t="str">
        <f t="shared" si="0"/>
        <v/>
      </c>
      <c r="L125" s="18" t="str">
        <f t="shared" si="0"/>
        <v/>
      </c>
      <c r="M125" s="18" t="str">
        <f t="shared" si="0"/>
        <v/>
      </c>
      <c r="N125" s="18" t="str">
        <f t="shared" si="0"/>
        <v/>
      </c>
      <c r="O125" s="18" t="str">
        <f t="shared" si="0"/>
        <v/>
      </c>
      <c r="P125" s="18" t="str">
        <f t="shared" si="0"/>
        <v/>
      </c>
    </row>
    <row r="126" spans="1:16" x14ac:dyDescent="0.2">
      <c r="B126" s="19" t="s">
        <v>36</v>
      </c>
      <c r="F126" s="20">
        <f>COUNT(F4:F123)</f>
        <v>0</v>
      </c>
      <c r="P126" s="20">
        <f>COUNT(P4:P123)</f>
        <v>0</v>
      </c>
    </row>
  </sheetData>
  <autoFilter ref="A3:P123" xr:uid="{00000000-0009-0000-0000-000000000000}"/>
  <mergeCells count="2">
    <mergeCell ref="A1:P1"/>
    <mergeCell ref="A2:P2"/>
  </mergeCells>
  <conditionalFormatting sqref="F4:F123">
    <cfRule type="colorScale" priority="3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G4:G123">
    <cfRule type="colorScale" priority="4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H4:H123">
    <cfRule type="colorScale" priority="5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I4:I123">
    <cfRule type="colorScale" priority="6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J4:J123">
    <cfRule type="colorScale" priority="7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K4:K123">
    <cfRule type="colorScale" priority="8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L4:L123">
    <cfRule type="colorScale" priority="9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M4:M123">
    <cfRule type="colorScale" priority="10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N4:N123">
    <cfRule type="colorScale" priority="11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O4:O123">
    <cfRule type="colorScale" priority="12">
      <colorScale>
        <cfvo type="num" val="1"/>
        <cfvo type="num" val="5.5"/>
        <cfvo type="num" val="10"/>
        <color rgb="FFFFCDD2"/>
        <color rgb="FFFFF9C4"/>
        <color rgb="FFC8E6C9"/>
      </colorScale>
    </cfRule>
  </conditionalFormatting>
  <conditionalFormatting sqref="P4:P123">
    <cfRule type="colorScale" priority="2">
      <colorScale>
        <cfvo type="num" val="1"/>
        <cfvo type="num" val="5.5"/>
        <cfvo type="num" val="10"/>
        <color rgb="FFF44336"/>
        <color rgb="FFFFC107"/>
        <color rgb="FF4CAF50"/>
      </colorScale>
    </cfRule>
  </conditionalFormatting>
  <dataValidations count="2">
    <dataValidation type="decimal" allowBlank="1" showErrorMessage="1" errorTitle="Invalid Rating" error="Please enter a number between 1 and 10." sqref="F4:P123" xr:uid="{00000000-0002-0000-0000-000000000000}">
      <formula1>1</formula1>
      <formula2>10</formula2>
    </dataValidation>
    <dataValidation type="list" allowBlank="1" sqref="E4:E123" xr:uid="{00000000-0002-0000-0000-000001000000}">
      <formula1>"Public,Private,Resort,Semi-Private,Military"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700"/>
  </sheetPr>
  <dimension ref="A1:F42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6" width="14" customWidth="1"/>
  </cols>
  <sheetData>
    <row r="1" spans="1:6" ht="36" customHeight="1" x14ac:dyDescent="0.2">
      <c r="A1" s="4" t="s">
        <v>37</v>
      </c>
      <c r="B1" s="4"/>
      <c r="C1" s="4"/>
      <c r="D1" s="4"/>
      <c r="E1" s="4"/>
      <c r="F1" s="4"/>
    </row>
    <row r="2" spans="1:6" x14ac:dyDescent="0.2">
      <c r="A2" s="5" t="s">
        <v>38</v>
      </c>
      <c r="B2" s="5"/>
      <c r="C2" s="5"/>
      <c r="D2" s="5"/>
      <c r="E2" s="5"/>
      <c r="F2" s="5"/>
    </row>
    <row r="4" spans="1:6" ht="16" x14ac:dyDescent="0.2">
      <c r="A4" s="3" t="s">
        <v>39</v>
      </c>
      <c r="B4" s="3"/>
      <c r="C4" s="3"/>
      <c r="D4" s="3"/>
      <c r="E4" s="3"/>
      <c r="F4" s="3"/>
    </row>
    <row r="5" spans="1:6" x14ac:dyDescent="0.2">
      <c r="A5" s="21" t="s">
        <v>40</v>
      </c>
      <c r="B5" s="2" t="s">
        <v>41</v>
      </c>
      <c r="C5" s="2"/>
      <c r="D5" s="2"/>
      <c r="E5" s="2"/>
      <c r="F5" s="2"/>
    </row>
    <row r="6" spans="1:6" x14ac:dyDescent="0.2">
      <c r="A6" s="23" t="s">
        <v>42</v>
      </c>
      <c r="B6" s="2" t="s">
        <v>43</v>
      </c>
      <c r="C6" s="2"/>
      <c r="D6" s="2"/>
      <c r="E6" s="2"/>
      <c r="F6" s="2"/>
    </row>
    <row r="7" spans="1:6" x14ac:dyDescent="0.2">
      <c r="A7" s="24" t="s">
        <v>44</v>
      </c>
      <c r="B7" s="2" t="s">
        <v>45</v>
      </c>
      <c r="C7" s="2"/>
      <c r="D7" s="2"/>
      <c r="E7" s="2"/>
      <c r="F7" s="2"/>
    </row>
    <row r="8" spans="1:6" x14ac:dyDescent="0.2">
      <c r="A8" s="25" t="s">
        <v>46</v>
      </c>
      <c r="B8" s="2" t="s">
        <v>47</v>
      </c>
      <c r="C8" s="2"/>
      <c r="D8" s="2"/>
      <c r="E8" s="2"/>
      <c r="F8" s="2"/>
    </row>
    <row r="9" spans="1:6" x14ac:dyDescent="0.2">
      <c r="A9" s="26" t="s">
        <v>48</v>
      </c>
      <c r="B9" s="2" t="s">
        <v>49</v>
      </c>
      <c r="C9" s="2"/>
      <c r="D9" s="2"/>
      <c r="E9" s="2"/>
      <c r="F9" s="2"/>
    </row>
    <row r="12" spans="1:6" ht="16" x14ac:dyDescent="0.2">
      <c r="A12" s="3" t="s">
        <v>50</v>
      </c>
      <c r="B12" s="3"/>
      <c r="C12" s="3"/>
      <c r="D12" s="3"/>
      <c r="E12" s="3"/>
      <c r="F12" s="3"/>
    </row>
    <row r="13" spans="1:6" x14ac:dyDescent="0.2">
      <c r="A13" s="27" t="s">
        <v>51</v>
      </c>
      <c r="C13" s="28">
        <f>COUNTA('Course Ratings'!B4:B123)</f>
        <v>0</v>
      </c>
    </row>
    <row r="14" spans="1:6" x14ac:dyDescent="0.2">
      <c r="A14" s="27" t="s">
        <v>52</v>
      </c>
      <c r="C14" s="28">
        <f>COUNT('Course Ratings'!P4:P123)</f>
        <v>0</v>
      </c>
    </row>
    <row r="15" spans="1:6" x14ac:dyDescent="0.2">
      <c r="A15" s="27" t="s">
        <v>53</v>
      </c>
      <c r="C15" s="29" t="str">
        <f>IF(COUNT('Course Ratings'!P4:P123)&gt;0,MAX('Course Ratings'!P4:P123),"")</f>
        <v/>
      </c>
    </row>
    <row r="16" spans="1:6" x14ac:dyDescent="0.2">
      <c r="A16" s="27" t="s">
        <v>54</v>
      </c>
      <c r="C16" s="29" t="str">
        <f>IF(COUNT('Course Ratings'!P4:P123)&gt;0,MIN('Course Ratings'!P4:P123),"")</f>
        <v/>
      </c>
    </row>
    <row r="17" spans="1:6" x14ac:dyDescent="0.2">
      <c r="A17" s="27" t="s">
        <v>55</v>
      </c>
      <c r="C17" s="29" t="str">
        <f>IF(COUNT('Course Ratings'!P4:P123)&gt;0,AVERAGE('Course Ratings'!P4:P123),"")</f>
        <v/>
      </c>
    </row>
    <row r="20" spans="1:6" ht="16" x14ac:dyDescent="0.2">
      <c r="A20" s="3" t="s">
        <v>56</v>
      </c>
      <c r="B20" s="3"/>
      <c r="C20" s="3"/>
      <c r="D20" s="3"/>
      <c r="E20" s="3"/>
      <c r="F20" s="3"/>
    </row>
    <row r="21" spans="1:6" x14ac:dyDescent="0.2">
      <c r="A21" s="30" t="s">
        <v>27</v>
      </c>
      <c r="B21" s="31">
        <f>COUNTIF('Course Ratings'!D4:D123,A21)</f>
        <v>0</v>
      </c>
    </row>
    <row r="22" spans="1:6" x14ac:dyDescent="0.2">
      <c r="A22" s="30" t="s">
        <v>20</v>
      </c>
      <c r="B22" s="31">
        <f>COUNTIF('Course Ratings'!D4:D123,A22)</f>
        <v>0</v>
      </c>
    </row>
    <row r="23" spans="1:6" x14ac:dyDescent="0.2">
      <c r="A23" s="30" t="s">
        <v>25</v>
      </c>
      <c r="B23" s="31">
        <f>COUNTIF('Course Ratings'!D4:D123,A23)</f>
        <v>0</v>
      </c>
    </row>
    <row r="24" spans="1:6" x14ac:dyDescent="0.2">
      <c r="A24" s="30" t="s">
        <v>34</v>
      </c>
      <c r="B24" s="31">
        <f>COUNTIF('Course Ratings'!D4:D123,A24)</f>
        <v>0</v>
      </c>
    </row>
    <row r="25" spans="1:6" x14ac:dyDescent="0.2">
      <c r="A25" s="30" t="s">
        <v>31</v>
      </c>
      <c r="B25" s="31">
        <f>COUNTIF('Course Ratings'!D4:D123,A25)</f>
        <v>0</v>
      </c>
    </row>
    <row r="26" spans="1:6" x14ac:dyDescent="0.2">
      <c r="A26" s="30" t="s">
        <v>26</v>
      </c>
      <c r="B26" s="31">
        <f>COUNTIF('Course Ratings'!D4:D123,A26)</f>
        <v>0</v>
      </c>
    </row>
    <row r="27" spans="1:6" x14ac:dyDescent="0.2">
      <c r="A27" s="30" t="s">
        <v>32</v>
      </c>
      <c r="B27" s="31">
        <f>COUNTIF('Course Ratings'!D4:D123,A27)</f>
        <v>0</v>
      </c>
    </row>
    <row r="28" spans="1:6" x14ac:dyDescent="0.2">
      <c r="A28" s="30" t="s">
        <v>18</v>
      </c>
      <c r="B28" s="31">
        <f>COUNTIF('Course Ratings'!D4:D123,A28)</f>
        <v>0</v>
      </c>
    </row>
    <row r="29" spans="1:6" x14ac:dyDescent="0.2">
      <c r="A29" s="30" t="s">
        <v>30</v>
      </c>
      <c r="B29" s="31">
        <f>COUNTIF('Course Ratings'!D4:D123,A29)</f>
        <v>0</v>
      </c>
    </row>
    <row r="30" spans="1:6" x14ac:dyDescent="0.2">
      <c r="A30" s="30" t="s">
        <v>23</v>
      </c>
      <c r="B30" s="31">
        <f>COUNTIF('Course Ratings'!D4:D123,A30)</f>
        <v>0</v>
      </c>
    </row>
    <row r="31" spans="1:6" x14ac:dyDescent="0.2">
      <c r="A31" s="30" t="s">
        <v>28</v>
      </c>
      <c r="B31" s="31">
        <f>COUNTIF('Course Ratings'!D4:D123,A31)</f>
        <v>0</v>
      </c>
    </row>
    <row r="32" spans="1:6" x14ac:dyDescent="0.2">
      <c r="A32" s="30" t="s">
        <v>29</v>
      </c>
      <c r="B32" s="31">
        <f>COUNTIF('Course Ratings'!D4:D123,A32)</f>
        <v>0</v>
      </c>
    </row>
    <row r="33" spans="1:6" x14ac:dyDescent="0.2">
      <c r="A33" s="30" t="s">
        <v>21</v>
      </c>
      <c r="B33" s="31">
        <f>COUNTIF('Course Ratings'!D4:D123,A33)</f>
        <v>0</v>
      </c>
    </row>
    <row r="34" spans="1:6" x14ac:dyDescent="0.2">
      <c r="A34" s="30" t="s">
        <v>33</v>
      </c>
      <c r="B34" s="31">
        <f>COUNTIF('Course Ratings'!D4:D123,A34)</f>
        <v>0</v>
      </c>
    </row>
    <row r="37" spans="1:6" ht="16" x14ac:dyDescent="0.2">
      <c r="A37" s="3" t="s">
        <v>57</v>
      </c>
      <c r="B37" s="3"/>
      <c r="C37" s="3"/>
      <c r="D37" s="3"/>
      <c r="E37" s="3"/>
      <c r="F37" s="3"/>
    </row>
    <row r="38" spans="1:6" x14ac:dyDescent="0.2">
      <c r="A38" s="30" t="s">
        <v>24</v>
      </c>
      <c r="B38" s="31">
        <f>COUNTIF('Course Ratings'!E4:E123,A38)</f>
        <v>0</v>
      </c>
    </row>
    <row r="39" spans="1:6" x14ac:dyDescent="0.2">
      <c r="A39" s="30" t="s">
        <v>19</v>
      </c>
      <c r="B39" s="31">
        <f>COUNTIF('Course Ratings'!E4:E123,A39)</f>
        <v>0</v>
      </c>
    </row>
    <row r="40" spans="1:6" x14ac:dyDescent="0.2">
      <c r="A40" s="30" t="s">
        <v>22</v>
      </c>
      <c r="B40" s="31">
        <f>COUNTIF('Course Ratings'!E4:E123,A40)</f>
        <v>0</v>
      </c>
    </row>
    <row r="41" spans="1:6" x14ac:dyDescent="0.2">
      <c r="A41" s="30" t="s">
        <v>58</v>
      </c>
      <c r="B41" s="31">
        <f>COUNTIF('Course Ratings'!E4:E123,A41)</f>
        <v>0</v>
      </c>
    </row>
    <row r="42" spans="1:6" x14ac:dyDescent="0.2">
      <c r="A42" s="30" t="s">
        <v>59</v>
      </c>
      <c r="B42" s="31">
        <f>COUNTIF('Course Ratings'!E4:E123,A42)</f>
        <v>0</v>
      </c>
    </row>
  </sheetData>
  <mergeCells count="11">
    <mergeCell ref="A37:F37"/>
    <mergeCell ref="B7:F7"/>
    <mergeCell ref="B8:F8"/>
    <mergeCell ref="B9:F9"/>
    <mergeCell ref="A12:F12"/>
    <mergeCell ref="A20:F20"/>
    <mergeCell ref="A1:F1"/>
    <mergeCell ref="A2:F2"/>
    <mergeCell ref="A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5C0"/>
  </sheetPr>
  <dimension ref="A1:C22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3" width="55" customWidth="1"/>
  </cols>
  <sheetData>
    <row r="1" spans="1:3" ht="36" customHeight="1" x14ac:dyDescent="0.2">
      <c r="A1" s="4" t="s">
        <v>60</v>
      </c>
      <c r="B1" s="4"/>
      <c r="C1" s="4"/>
    </row>
    <row r="2" spans="1:3" x14ac:dyDescent="0.2">
      <c r="A2" s="5" t="s">
        <v>61</v>
      </c>
      <c r="B2" s="5"/>
      <c r="C2" s="5"/>
    </row>
    <row r="4" spans="1:3" x14ac:dyDescent="0.2">
      <c r="A4" s="32" t="s">
        <v>62</v>
      </c>
      <c r="B4" s="32" t="s">
        <v>63</v>
      </c>
      <c r="C4" s="32" t="s">
        <v>64</v>
      </c>
    </row>
    <row r="5" spans="1:3" ht="28" x14ac:dyDescent="0.2">
      <c r="A5" s="9" t="s">
        <v>7</v>
      </c>
      <c r="B5" s="10" t="s">
        <v>65</v>
      </c>
      <c r="C5" s="10" t="s">
        <v>66</v>
      </c>
    </row>
    <row r="6" spans="1:3" ht="28" x14ac:dyDescent="0.2">
      <c r="A6" s="14" t="s">
        <v>8</v>
      </c>
      <c r="B6" s="15" t="s">
        <v>67</v>
      </c>
      <c r="C6" s="15" t="s">
        <v>68</v>
      </c>
    </row>
    <row r="7" spans="1:3" x14ac:dyDescent="0.2">
      <c r="A7" s="9" t="s">
        <v>9</v>
      </c>
      <c r="B7" s="10" t="s">
        <v>69</v>
      </c>
      <c r="C7" s="10" t="s">
        <v>70</v>
      </c>
    </row>
    <row r="8" spans="1:3" ht="28" x14ac:dyDescent="0.2">
      <c r="A8" s="14" t="s">
        <v>10</v>
      </c>
      <c r="B8" s="15" t="s">
        <v>71</v>
      </c>
      <c r="C8" s="15" t="s">
        <v>72</v>
      </c>
    </row>
    <row r="9" spans="1:3" x14ac:dyDescent="0.2">
      <c r="A9" s="9" t="s">
        <v>11</v>
      </c>
      <c r="B9" s="10" t="s">
        <v>73</v>
      </c>
      <c r="C9" s="10" t="s">
        <v>74</v>
      </c>
    </row>
    <row r="10" spans="1:3" x14ac:dyDescent="0.2">
      <c r="A10" s="14" t="s">
        <v>12</v>
      </c>
      <c r="B10" s="15" t="s">
        <v>75</v>
      </c>
      <c r="C10" s="15" t="s">
        <v>76</v>
      </c>
    </row>
    <row r="11" spans="1:3" ht="28" x14ac:dyDescent="0.2">
      <c r="A11" s="9" t="s">
        <v>13</v>
      </c>
      <c r="B11" s="10" t="s">
        <v>77</v>
      </c>
      <c r="C11" s="10" t="s">
        <v>78</v>
      </c>
    </row>
    <row r="12" spans="1:3" ht="28" x14ac:dyDescent="0.2">
      <c r="A12" s="14" t="s">
        <v>14</v>
      </c>
      <c r="B12" s="15" t="s">
        <v>79</v>
      </c>
      <c r="C12" s="15" t="s">
        <v>80</v>
      </c>
    </row>
    <row r="13" spans="1:3" ht="28" x14ac:dyDescent="0.2">
      <c r="A13" s="9" t="s">
        <v>15</v>
      </c>
      <c r="B13" s="10" t="s">
        <v>81</v>
      </c>
      <c r="C13" s="10" t="s">
        <v>82</v>
      </c>
    </row>
    <row r="14" spans="1:3" ht="28" x14ac:dyDescent="0.2">
      <c r="A14" s="14" t="s">
        <v>16</v>
      </c>
      <c r="B14" s="15" t="s">
        <v>83</v>
      </c>
      <c r="C14" s="15" t="s">
        <v>84</v>
      </c>
    </row>
    <row r="17" spans="1:3" ht="16" x14ac:dyDescent="0.2">
      <c r="A17" s="1" t="s">
        <v>85</v>
      </c>
      <c r="B17" s="1"/>
      <c r="C17" s="1"/>
    </row>
    <row r="18" spans="1:3" x14ac:dyDescent="0.2">
      <c r="A18" s="20" t="s">
        <v>86</v>
      </c>
      <c r="B18" s="30" t="s">
        <v>87</v>
      </c>
      <c r="C18" s="22" t="s">
        <v>88</v>
      </c>
    </row>
    <row r="19" spans="1:3" x14ac:dyDescent="0.2">
      <c r="A19" s="20" t="s">
        <v>89</v>
      </c>
      <c r="B19" s="30" t="s">
        <v>90</v>
      </c>
      <c r="C19" s="22" t="s">
        <v>91</v>
      </c>
    </row>
    <row r="20" spans="1:3" x14ac:dyDescent="0.2">
      <c r="A20" s="20" t="s">
        <v>92</v>
      </c>
      <c r="B20" s="30" t="s">
        <v>93</v>
      </c>
      <c r="C20" s="22" t="s">
        <v>94</v>
      </c>
    </row>
    <row r="21" spans="1:3" x14ac:dyDescent="0.2">
      <c r="A21" s="20" t="s">
        <v>95</v>
      </c>
      <c r="B21" s="30" t="s">
        <v>96</v>
      </c>
      <c r="C21" s="22" t="s">
        <v>97</v>
      </c>
    </row>
    <row r="22" spans="1:3" x14ac:dyDescent="0.2">
      <c r="A22" s="20" t="s">
        <v>98</v>
      </c>
      <c r="B22" s="30" t="s">
        <v>99</v>
      </c>
      <c r="C22" s="22" t="s">
        <v>100</v>
      </c>
    </row>
  </sheetData>
  <mergeCells count="3">
    <mergeCell ref="A1:C1"/>
    <mergeCell ref="A2:C2"/>
    <mergeCell ref="A17:C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Course Ratings</vt:lpstr>
      <vt:lpstr>Rankings Dashboard</vt:lpstr>
      <vt:lpstr>Rating Guide</vt:lpstr>
      <vt:lpstr>'Course Ratings'!Print_Titles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Grant Ingersoll</cp:lastModifiedBy>
  <cp:revision>0</cp:revision>
  <dcterms:created xsi:type="dcterms:W3CDTF">2026-04-06T22:04:31Z</dcterms:created>
  <dcterms:modified xsi:type="dcterms:W3CDTF">2026-06-22T16:34:53Z</dcterms:modified>
  <dc:language>en-US</dc:language>
</cp:coreProperties>
</file>